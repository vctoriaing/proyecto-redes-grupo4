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VLSM Original" sheetId="1" state="visible" r:id="rId1"/>
    <sheet xmlns:r="http://schemas.openxmlformats.org/officeDocument/2006/relationships" name="Plan Ampliado (Letra D)" sheetId="2" state="visible" r:id="rId2"/>
    <sheet xmlns:r="http://schemas.openxmlformats.org/officeDocument/2006/relationships" name="Matriz Equipos e 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2060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7" customWidth="1" min="4" max="4"/>
    <col width="17" customWidth="1" min="5" max="5"/>
    <col width="16" customWidth="1" min="6" max="6"/>
    <col width="18" customWidth="1" min="7" max="7"/>
    <col width="20" customWidth="1" min="8" max="8"/>
    <col width="19" customWidth="1" min="9" max="9"/>
    <col width="25" customWidth="1" min="10" max="10"/>
    <col width="26" customWidth="1" min="11" max="11"/>
    <col width="23" customWidth="1" min="12" max="12"/>
  </cols>
  <sheetData>
    <row r="1">
      <c r="A1" s="1" t="inlineStr">
        <is>
          <t>PLAN DE DIRECCIONAMIENTO VLSM ORIGINAL - GRUPO 4</t>
        </is>
      </c>
    </row>
    <row r="2">
      <c r="A2" s="2" t="inlineStr">
        <is>
          <t>Bloque Base IPv4: 172.16.4.0/24 | Red Externa: 203.0.113.0/29 | Fórmulas matemáticas aplicadas directamente en columnas</t>
        </is>
      </c>
    </row>
    <row r="3"/>
    <row r="4" ht="35" customHeight="1">
      <c r="A4" s="3" t="inlineStr">
        <is>
          <t>Subred / Segmento</t>
        </is>
      </c>
      <c r="B4" s="3" t="inlineStr">
        <is>
          <t>Hosts Requeridos</t>
        </is>
      </c>
      <c r="C4" s="3" t="inlineStr">
        <is>
          <t>Prefijo CIDR</t>
        </is>
      </c>
      <c r="D4" s="3" t="inlineStr">
        <is>
          <t>Bits Host (n)
= 32 - CIDR</t>
        </is>
      </c>
      <c r="E4" s="3" t="inlineStr">
        <is>
          <t>Capacidad IPs
= 2^n</t>
        </is>
      </c>
      <c r="F4" s="3" t="inlineStr">
        <is>
          <t>Hosts Útiles
= 2^n - 2</t>
        </is>
      </c>
      <c r="G4" s="3" t="inlineStr">
        <is>
          <t>Salto / Bloque
= 2^n</t>
        </is>
      </c>
      <c r="H4" s="3" t="inlineStr">
        <is>
          <t>Dirección de Red</t>
        </is>
      </c>
      <c r="I4" s="3" t="inlineStr">
        <is>
          <t>Máscara Decimal</t>
        </is>
      </c>
      <c r="J4" s="3" t="inlineStr">
        <is>
          <t>Primer Host (Gateway)</t>
        </is>
      </c>
      <c r="K4" s="3" t="inlineStr">
        <is>
          <t>Último Host Utilizable</t>
        </is>
      </c>
      <c r="L4" s="3" t="inlineStr">
        <is>
          <t>Dirección Broadcast</t>
        </is>
      </c>
    </row>
    <row r="5" ht="22" customHeight="1">
      <c r="A5" s="4" t="inlineStr">
        <is>
          <t>VLAN 10 (Administración)</t>
        </is>
      </c>
      <c r="B5" s="5" t="n">
        <v>25</v>
      </c>
      <c r="C5" s="5" t="inlineStr">
        <is>
          <t>/27</t>
        </is>
      </c>
      <c r="D5" s="6">
        <f>32-27</f>
        <v/>
      </c>
      <c r="E5" s="6">
        <f>2^D5</f>
        <v/>
      </c>
      <c r="F5" s="6">
        <f>E5-2</f>
        <v/>
      </c>
      <c r="G5" s="6">
        <f>E5</f>
        <v/>
      </c>
      <c r="H5" s="5" t="inlineStr">
        <is>
          <t>172.16.4.0</t>
        </is>
      </c>
      <c r="I5" s="5" t="inlineStr">
        <is>
          <t>255.255.255.224</t>
        </is>
      </c>
      <c r="J5" s="5" t="inlineStr">
        <is>
          <t>172.16.4.1</t>
        </is>
      </c>
      <c r="K5" s="5" t="inlineStr">
        <is>
          <t>172.16.4.30</t>
        </is>
      </c>
      <c r="L5" s="5" t="inlineStr">
        <is>
          <t>172.16.4.31</t>
        </is>
      </c>
    </row>
    <row r="6" ht="22" customHeight="1">
      <c r="A6" s="7" t="inlineStr">
        <is>
          <t>VLAN 20 (Ventas)</t>
        </is>
      </c>
      <c r="B6" s="8" t="n">
        <v>12</v>
      </c>
      <c r="C6" s="8" t="inlineStr">
        <is>
          <t>/28</t>
        </is>
      </c>
      <c r="D6" s="6">
        <f>32-28</f>
        <v/>
      </c>
      <c r="E6" s="6">
        <f>2^D6</f>
        <v/>
      </c>
      <c r="F6" s="6">
        <f>E6-2</f>
        <v/>
      </c>
      <c r="G6" s="6">
        <f>E6</f>
        <v/>
      </c>
      <c r="H6" s="8" t="inlineStr">
        <is>
          <t>172.16.4.32</t>
        </is>
      </c>
      <c r="I6" s="8" t="inlineStr">
        <is>
          <t>255.255.255.240</t>
        </is>
      </c>
      <c r="J6" s="8" t="inlineStr">
        <is>
          <t>172.16.4.33</t>
        </is>
      </c>
      <c r="K6" s="8" t="inlineStr">
        <is>
          <t>172.16.4.46</t>
        </is>
      </c>
      <c r="L6" s="8" t="inlineStr">
        <is>
          <t>172.16.4.47</t>
        </is>
      </c>
    </row>
    <row r="7" ht="22" customHeight="1">
      <c r="A7" s="4" t="inlineStr">
        <is>
          <t>Servidores (HTTP/Syslog)</t>
        </is>
      </c>
      <c r="B7" s="5" t="n">
        <v>6</v>
      </c>
      <c r="C7" s="5" t="inlineStr">
        <is>
          <t>/29</t>
        </is>
      </c>
      <c r="D7" s="6">
        <f>32-29</f>
        <v/>
      </c>
      <c r="E7" s="6">
        <f>2^D7</f>
        <v/>
      </c>
      <c r="F7" s="6">
        <f>E7-2</f>
        <v/>
      </c>
      <c r="G7" s="6">
        <f>E7</f>
        <v/>
      </c>
      <c r="H7" s="5" t="inlineStr">
        <is>
          <t>172.16.4.48</t>
        </is>
      </c>
      <c r="I7" s="5" t="inlineStr">
        <is>
          <t>255.255.255.248</t>
        </is>
      </c>
      <c r="J7" s="5" t="inlineStr">
        <is>
          <t>172.16.4.49</t>
        </is>
      </c>
      <c r="K7" s="5" t="inlineStr">
        <is>
          <t>172.16.4.54</t>
        </is>
      </c>
      <c r="L7" s="5" t="inlineStr">
        <is>
          <t>172.16.4.55</t>
        </is>
      </c>
    </row>
    <row r="8" ht="22" customHeight="1">
      <c r="A8" s="7" t="inlineStr">
        <is>
          <t>WAN 1 (r1 - r2)</t>
        </is>
      </c>
      <c r="B8" s="8" t="n">
        <v>2</v>
      </c>
      <c r="C8" s="8" t="inlineStr">
        <is>
          <t>/30</t>
        </is>
      </c>
      <c r="D8" s="6">
        <f>32-30</f>
        <v/>
      </c>
      <c r="E8" s="6">
        <f>2^D8</f>
        <v/>
      </c>
      <c r="F8" s="6">
        <f>E8-2</f>
        <v/>
      </c>
      <c r="G8" s="6">
        <f>E8</f>
        <v/>
      </c>
      <c r="H8" s="8" t="inlineStr">
        <is>
          <t>172.16.4.56</t>
        </is>
      </c>
      <c r="I8" s="8" t="inlineStr">
        <is>
          <t>255.255.255.252</t>
        </is>
      </c>
      <c r="J8" s="8" t="inlineStr">
        <is>
          <t>172.16.4.57</t>
        </is>
      </c>
      <c r="K8" s="8" t="inlineStr">
        <is>
          <t>172.16.4.58</t>
        </is>
      </c>
      <c r="L8" s="8" t="inlineStr">
        <is>
          <t>172.16.4.59</t>
        </is>
      </c>
    </row>
    <row r="9" ht="22" customHeight="1">
      <c r="A9" s="4" t="inlineStr">
        <is>
          <t>WAN 2 (r2 - r3)</t>
        </is>
      </c>
      <c r="B9" s="5" t="n">
        <v>2</v>
      </c>
      <c r="C9" s="5" t="inlineStr">
        <is>
          <t>/30</t>
        </is>
      </c>
      <c r="D9" s="6">
        <f>32-30</f>
        <v/>
      </c>
      <c r="E9" s="6">
        <f>2^D9</f>
        <v/>
      </c>
      <c r="F9" s="6">
        <f>E9-2</f>
        <v/>
      </c>
      <c r="G9" s="6">
        <f>E9</f>
        <v/>
      </c>
      <c r="H9" s="5" t="inlineStr">
        <is>
          <t>172.16.4.60</t>
        </is>
      </c>
      <c r="I9" s="5" t="inlineStr">
        <is>
          <t>255.255.255.252</t>
        </is>
      </c>
      <c r="J9" s="5" t="inlineStr">
        <is>
          <t>172.16.4.61</t>
        </is>
      </c>
      <c r="K9" s="5" t="inlineStr">
        <is>
          <t>172.16.4.62</t>
        </is>
      </c>
      <c r="L9" s="5" t="inlineStr">
        <is>
          <t>172.16.4.63</t>
        </is>
      </c>
    </row>
    <row r="10" ht="22" customHeight="1">
      <c r="A10" s="7" t="inlineStr">
        <is>
          <t>WAN 3 (r3 - r1)</t>
        </is>
      </c>
      <c r="B10" s="8" t="n">
        <v>2</v>
      </c>
      <c r="C10" s="8" t="inlineStr">
        <is>
          <t>/30</t>
        </is>
      </c>
      <c r="D10" s="6">
        <f>32-30</f>
        <v/>
      </c>
      <c r="E10" s="6">
        <f>2^D10</f>
        <v/>
      </c>
      <c r="F10" s="6">
        <f>E10-2</f>
        <v/>
      </c>
      <c r="G10" s="6">
        <f>E10</f>
        <v/>
      </c>
      <c r="H10" s="8" t="inlineStr">
        <is>
          <t>172.16.4.64</t>
        </is>
      </c>
      <c r="I10" s="8" t="inlineStr">
        <is>
          <t>255.255.255.252</t>
        </is>
      </c>
      <c r="J10" s="8" t="inlineStr">
        <is>
          <t>172.16.4.65</t>
        </is>
      </c>
      <c r="K10" s="8" t="inlineStr">
        <is>
          <t>172.16.4.66</t>
        </is>
      </c>
      <c r="L10" s="8" t="inlineStr">
        <is>
          <t>172.16.4.67</t>
        </is>
      </c>
    </row>
    <row r="11" ht="22" customHeight="1">
      <c r="A11" s="4" t="inlineStr">
        <is>
          <t>Red Externa (Simulada)</t>
        </is>
      </c>
      <c r="B11" s="5" t="n">
        <v>2</v>
      </c>
      <c r="C11" s="5" t="inlineStr">
        <is>
          <t>/29</t>
        </is>
      </c>
      <c r="D11" s="6">
        <f>32-29</f>
        <v/>
      </c>
      <c r="E11" s="6">
        <f>2^D11</f>
        <v/>
      </c>
      <c r="F11" s="6">
        <f>E11-2</f>
        <v/>
      </c>
      <c r="G11" s="6">
        <f>E11</f>
        <v/>
      </c>
      <c r="H11" s="5" t="inlineStr">
        <is>
          <t>203.0.113.0</t>
        </is>
      </c>
      <c r="I11" s="5" t="inlineStr">
        <is>
          <t>255.255.255.248</t>
        </is>
      </c>
      <c r="J11" s="5" t="inlineStr">
        <is>
          <t>203.0.113.1</t>
        </is>
      </c>
      <c r="K11" s="5" t="inlineStr">
        <is>
          <t>203.0.113.6</t>
        </is>
      </c>
      <c r="L11" s="5" t="inlineStr">
        <is>
          <t>203.0.113.7</t>
        </is>
      </c>
    </row>
    <row r="12" ht="24" customHeight="1">
      <c r="A12" s="9" t="inlineStr">
        <is>
          <t>TOTALES</t>
        </is>
      </c>
      <c r="B12" s="10">
        <f>SUM(B5:B11)</f>
        <v/>
      </c>
      <c r="C12" s="10" t="inlineStr">
        <is>
          <t>-</t>
        </is>
      </c>
      <c r="D12" s="10" t="inlineStr">
        <is>
          <t>-</t>
        </is>
      </c>
      <c r="E12" s="10">
        <f>SUM(E5:E11)</f>
        <v/>
      </c>
      <c r="F12" s="10">
        <f>SUM(F5:F11)</f>
        <v/>
      </c>
      <c r="G12" s="10">
        <f>SUM(G5:G11)</f>
        <v/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7" customWidth="1" min="4" max="4"/>
    <col width="17" customWidth="1" min="5" max="5"/>
    <col width="16" customWidth="1" min="6" max="6"/>
    <col width="18" customWidth="1" min="7" max="7"/>
    <col width="20" customWidth="1" min="8" max="8"/>
    <col width="19" customWidth="1" min="9" max="9"/>
    <col width="25" customWidth="1" min="10" max="10"/>
    <col width="26" customWidth="1" min="11" max="11"/>
    <col width="23" customWidth="1" min="12" max="12"/>
  </cols>
  <sheetData>
    <row r="1">
      <c r="A1" s="1" t="inlineStr">
        <is>
          <t>PLAN DE DIRECCIONAMIENTO VLSM AMPLIADO (LETRA D)</t>
        </is>
      </c>
    </row>
    <row r="2">
      <c r="A2" s="2" t="inlineStr">
        <is>
          <t>Modificación: VLAN 20 ampliada de /28 (14 hosts) a /27 (30 hosts) | Recálculo dinámico con fórmulas sin solapamiento</t>
        </is>
      </c>
    </row>
    <row r="3"/>
    <row r="4" ht="35" customHeight="1">
      <c r="A4" s="11" t="inlineStr">
        <is>
          <t>Subred / Segmento</t>
        </is>
      </c>
      <c r="B4" s="11" t="inlineStr">
        <is>
          <t>Hosts Requeridos</t>
        </is>
      </c>
      <c r="C4" s="11" t="inlineStr">
        <is>
          <t>Prefijo CIDR</t>
        </is>
      </c>
      <c r="D4" s="11" t="inlineStr">
        <is>
          <t>Bits Host (n)
= 32 - CIDR</t>
        </is>
      </c>
      <c r="E4" s="11" t="inlineStr">
        <is>
          <t>Capacidad IPs
= 2^n</t>
        </is>
      </c>
      <c r="F4" s="11" t="inlineStr">
        <is>
          <t>Hosts Útiles
= 2^n - 2</t>
        </is>
      </c>
      <c r="G4" s="11" t="inlineStr">
        <is>
          <t>Salto / Bloque
= 2^n</t>
        </is>
      </c>
      <c r="H4" s="11" t="inlineStr">
        <is>
          <t>Dirección de Red</t>
        </is>
      </c>
      <c r="I4" s="11" t="inlineStr">
        <is>
          <t>Máscara Decimal</t>
        </is>
      </c>
      <c r="J4" s="11" t="inlineStr">
        <is>
          <t>Primer Host (Gateway)</t>
        </is>
      </c>
      <c r="K4" s="11" t="inlineStr">
        <is>
          <t>Último Host Utilizable</t>
        </is>
      </c>
      <c r="L4" s="11" t="inlineStr">
        <is>
          <t>Dirección Broadcast</t>
        </is>
      </c>
    </row>
    <row r="5" ht="22" customHeight="1">
      <c r="A5" s="4" t="inlineStr">
        <is>
          <t>VLAN 10 (Administración)</t>
        </is>
      </c>
      <c r="B5" s="5" t="n">
        <v>25</v>
      </c>
      <c r="C5" s="5" t="inlineStr">
        <is>
          <t>/27</t>
        </is>
      </c>
      <c r="D5" s="6">
        <f>32-27</f>
        <v/>
      </c>
      <c r="E5" s="6">
        <f>2^D5</f>
        <v/>
      </c>
      <c r="F5" s="6">
        <f>E5-2</f>
        <v/>
      </c>
      <c r="G5" s="6">
        <f>E5</f>
        <v/>
      </c>
      <c r="H5" s="5" t="inlineStr">
        <is>
          <t>172.16.4.0</t>
        </is>
      </c>
      <c r="I5" s="5" t="inlineStr">
        <is>
          <t>255.255.255.224</t>
        </is>
      </c>
      <c r="J5" s="5" t="inlineStr">
        <is>
          <t>172.16.4.1</t>
        </is>
      </c>
      <c r="K5" s="5" t="inlineStr">
        <is>
          <t>172.16.4.30</t>
        </is>
      </c>
      <c r="L5" s="5" t="inlineStr">
        <is>
          <t>172.16.4.31</t>
        </is>
      </c>
    </row>
    <row r="6" ht="22" customHeight="1">
      <c r="A6" s="12" t="inlineStr">
        <is>
          <t>VLAN 20 (Ventas - AMPLIADA)</t>
        </is>
      </c>
      <c r="B6" s="13" t="n">
        <v>30</v>
      </c>
      <c r="C6" s="13" t="inlineStr">
        <is>
          <t>/27</t>
        </is>
      </c>
      <c r="D6" s="6">
        <f>32-27</f>
        <v/>
      </c>
      <c r="E6" s="6">
        <f>2^D6</f>
        <v/>
      </c>
      <c r="F6" s="6">
        <f>E6-2</f>
        <v/>
      </c>
      <c r="G6" s="6">
        <f>E6</f>
        <v/>
      </c>
      <c r="H6" s="13" t="inlineStr">
        <is>
          <t>172.16.4.32</t>
        </is>
      </c>
      <c r="I6" s="13" t="inlineStr">
        <is>
          <t>255.255.255.224</t>
        </is>
      </c>
      <c r="J6" s="13" t="inlineStr">
        <is>
          <t>172.16.4.33</t>
        </is>
      </c>
      <c r="K6" s="13" t="inlineStr">
        <is>
          <t>172.16.4.62</t>
        </is>
      </c>
      <c r="L6" s="13" t="inlineStr">
        <is>
          <t>172.16.4.63</t>
        </is>
      </c>
    </row>
    <row r="7" ht="22" customHeight="1">
      <c r="A7" s="12" t="inlineStr">
        <is>
          <t>Servidores (Reubicada)</t>
        </is>
      </c>
      <c r="B7" s="13" t="n">
        <v>6</v>
      </c>
      <c r="C7" s="13" t="inlineStr">
        <is>
          <t>/29</t>
        </is>
      </c>
      <c r="D7" s="6">
        <f>32-29</f>
        <v/>
      </c>
      <c r="E7" s="6">
        <f>2^D7</f>
        <v/>
      </c>
      <c r="F7" s="6">
        <f>E7-2</f>
        <v/>
      </c>
      <c r="G7" s="6">
        <f>E7</f>
        <v/>
      </c>
      <c r="H7" s="13" t="inlineStr">
        <is>
          <t>172.16.4.64</t>
        </is>
      </c>
      <c r="I7" s="13" t="inlineStr">
        <is>
          <t>255.255.255.248</t>
        </is>
      </c>
      <c r="J7" s="13" t="inlineStr">
        <is>
          <t>172.16.4.65</t>
        </is>
      </c>
      <c r="K7" s="13" t="inlineStr">
        <is>
          <t>172.16.4.70</t>
        </is>
      </c>
      <c r="L7" s="13" t="inlineStr">
        <is>
          <t>172.16.4.71</t>
        </is>
      </c>
    </row>
    <row r="8" ht="22" customHeight="1">
      <c r="A8" s="12" t="inlineStr">
        <is>
          <t>WAN 1 (r1 - r2 Reubicada)</t>
        </is>
      </c>
      <c r="B8" s="13" t="n">
        <v>2</v>
      </c>
      <c r="C8" s="13" t="inlineStr">
        <is>
          <t>/30</t>
        </is>
      </c>
      <c r="D8" s="6">
        <f>32-30</f>
        <v/>
      </c>
      <c r="E8" s="6">
        <f>2^D8</f>
        <v/>
      </c>
      <c r="F8" s="6">
        <f>E8-2</f>
        <v/>
      </c>
      <c r="G8" s="6">
        <f>E8</f>
        <v/>
      </c>
      <c r="H8" s="13" t="inlineStr">
        <is>
          <t>172.16.4.72</t>
        </is>
      </c>
      <c r="I8" s="13" t="inlineStr">
        <is>
          <t>255.255.255.252</t>
        </is>
      </c>
      <c r="J8" s="13" t="inlineStr">
        <is>
          <t>172.16.4.73</t>
        </is>
      </c>
      <c r="K8" s="13" t="inlineStr">
        <is>
          <t>172.16.4.74</t>
        </is>
      </c>
      <c r="L8" s="13" t="inlineStr">
        <is>
          <t>172.16.4.75</t>
        </is>
      </c>
    </row>
    <row r="9" ht="22" customHeight="1">
      <c r="A9" s="12" t="inlineStr">
        <is>
          <t>WAN 2 (r2 - r3 Reubicada)</t>
        </is>
      </c>
      <c r="B9" s="13" t="n">
        <v>2</v>
      </c>
      <c r="C9" s="13" t="inlineStr">
        <is>
          <t>/30</t>
        </is>
      </c>
      <c r="D9" s="6">
        <f>32-30</f>
        <v/>
      </c>
      <c r="E9" s="6">
        <f>2^D9</f>
        <v/>
      </c>
      <c r="F9" s="6">
        <f>E9-2</f>
        <v/>
      </c>
      <c r="G9" s="6">
        <f>E9</f>
        <v/>
      </c>
      <c r="H9" s="13" t="inlineStr">
        <is>
          <t>172.16.4.76</t>
        </is>
      </c>
      <c r="I9" s="13" t="inlineStr">
        <is>
          <t>255.255.255.252</t>
        </is>
      </c>
      <c r="J9" s="13" t="inlineStr">
        <is>
          <t>172.16.4.77</t>
        </is>
      </c>
      <c r="K9" s="13" t="inlineStr">
        <is>
          <t>172.16.4.78</t>
        </is>
      </c>
      <c r="L9" s="13" t="inlineStr">
        <is>
          <t>172.16.4.79</t>
        </is>
      </c>
    </row>
    <row r="10" ht="22" customHeight="1">
      <c r="A10" s="12" t="inlineStr">
        <is>
          <t>WAN 3 (r3 - r1 Reubicada)</t>
        </is>
      </c>
      <c r="B10" s="13" t="n">
        <v>2</v>
      </c>
      <c r="C10" s="13" t="inlineStr">
        <is>
          <t>/30</t>
        </is>
      </c>
      <c r="D10" s="6">
        <f>32-30</f>
        <v/>
      </c>
      <c r="E10" s="6">
        <f>2^D10</f>
        <v/>
      </c>
      <c r="F10" s="6">
        <f>E10-2</f>
        <v/>
      </c>
      <c r="G10" s="6">
        <f>E10</f>
        <v/>
      </c>
      <c r="H10" s="13" t="inlineStr">
        <is>
          <t>172.16.4.80</t>
        </is>
      </c>
      <c r="I10" s="13" t="inlineStr">
        <is>
          <t>255.255.255.252</t>
        </is>
      </c>
      <c r="J10" s="13" t="inlineStr">
        <is>
          <t>172.16.4.81</t>
        </is>
      </c>
      <c r="K10" s="13" t="inlineStr">
        <is>
          <t>172.16.4.82</t>
        </is>
      </c>
      <c r="L10" s="13" t="inlineStr">
        <is>
          <t>172.16.4.83</t>
        </is>
      </c>
    </row>
    <row r="11" ht="22" customHeight="1">
      <c r="A11" s="4" t="inlineStr">
        <is>
          <t>Red Externa (Sin cambios)</t>
        </is>
      </c>
      <c r="B11" s="5" t="n">
        <v>2</v>
      </c>
      <c r="C11" s="5" t="inlineStr">
        <is>
          <t>/29</t>
        </is>
      </c>
      <c r="D11" s="6">
        <f>32-29</f>
        <v/>
      </c>
      <c r="E11" s="6">
        <f>2^D11</f>
        <v/>
      </c>
      <c r="F11" s="6">
        <f>E11-2</f>
        <v/>
      </c>
      <c r="G11" s="6">
        <f>E11</f>
        <v/>
      </c>
      <c r="H11" s="5" t="inlineStr">
        <is>
          <t>203.0.113.0</t>
        </is>
      </c>
      <c r="I11" s="5" t="inlineStr">
        <is>
          <t>255.255.255.248</t>
        </is>
      </c>
      <c r="J11" s="5" t="inlineStr">
        <is>
          <t>203.0.113.1</t>
        </is>
      </c>
      <c r="K11" s="5" t="inlineStr">
        <is>
          <t>203.0.113.6</t>
        </is>
      </c>
      <c r="L11" s="5" t="inlineStr">
        <is>
          <t>203.0.113.7</t>
        </is>
      </c>
    </row>
    <row r="12" ht="24" customHeight="1">
      <c r="A12" s="9" t="inlineStr">
        <is>
          <t>TOTALES</t>
        </is>
      </c>
      <c r="B12" s="10">
        <f>SUM(B5:B11)</f>
        <v/>
      </c>
      <c r="C12" s="10" t="inlineStr">
        <is>
          <t>-</t>
        </is>
      </c>
      <c r="D12" s="10" t="inlineStr">
        <is>
          <t>-</t>
        </is>
      </c>
      <c r="E12" s="10">
        <f>SUM(E5:E11)</f>
        <v/>
      </c>
      <c r="F12" s="10">
        <f>SUM(F5:F11)</f>
        <v/>
      </c>
      <c r="G12" s="10">
        <f>SUM(G5:G11)</f>
        <v/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9" customWidth="1" min="3" max="3"/>
    <col width="32" customWidth="1" min="4" max="4"/>
    <col width="28" customWidth="1" min="5" max="5"/>
    <col width="20" customWidth="1" min="6" max="6"/>
  </cols>
  <sheetData>
    <row r="1">
      <c r="A1" s="1" t="inlineStr">
        <is>
          <t>INVENTARIO DE NODOS Y ASIGNACIÓN DE DIRECCIONES IP</t>
        </is>
      </c>
    </row>
    <row r="2">
      <c r="A2" s="2" t="inlineStr">
        <is>
          <t>Mapeo físico y lógico de contenedores Docker en Containerlab para el Grupo 4</t>
        </is>
      </c>
    </row>
    <row r="3"/>
    <row r="4" ht="28" customHeight="1">
      <c r="A4" s="14" t="inlineStr">
        <is>
          <t>Nombre Nodo</t>
        </is>
      </c>
      <c r="B4" s="14" t="inlineStr">
        <is>
          <t>Tipo / Rol</t>
        </is>
      </c>
      <c r="C4" s="14" t="inlineStr">
        <is>
          <t>Interfaz</t>
        </is>
      </c>
      <c r="D4" s="14" t="inlineStr">
        <is>
          <t>IP / Prefijo</t>
        </is>
      </c>
      <c r="E4" s="14" t="inlineStr">
        <is>
          <t>Gateway Predeterminado</t>
        </is>
      </c>
      <c r="F4" s="14" t="inlineStr">
        <is>
          <t>Estado Auditoría</t>
        </is>
      </c>
    </row>
    <row r="5" ht="20" customHeight="1">
      <c r="A5" s="4" t="inlineStr">
        <is>
          <t>clab-proyecto-r1</t>
        </is>
      </c>
      <c r="B5" s="5" t="inlineStr">
        <is>
          <t>Router Borde</t>
        </is>
      </c>
      <c r="C5" s="4" t="inlineStr">
        <is>
          <t>eth1 (WAN1) / eth2 (Ext)</t>
        </is>
      </c>
      <c r="D5" s="5" t="inlineStr">
        <is>
          <t>172.16.4.57/30 / 203.0.113.1/29</t>
        </is>
      </c>
      <c r="E5" s="5" t="inlineStr">
        <is>
          <t>N/A (Borde OSPF/NAT)</t>
        </is>
      </c>
      <c r="F5" s="5" t="inlineStr">
        <is>
          <t>[ OK ]</t>
        </is>
      </c>
    </row>
    <row r="6" ht="20" customHeight="1">
      <c r="A6" s="7" t="inlineStr">
        <is>
          <t>clab-proyecto-r2</t>
        </is>
      </c>
      <c r="B6" s="8" t="inlineStr">
        <is>
          <t>Router Sede (Trunk)</t>
        </is>
      </c>
      <c r="C6" s="7" t="inlineStr">
        <is>
          <t>eth1.10 / eth1.20</t>
        </is>
      </c>
      <c r="D6" s="8" t="inlineStr">
        <is>
          <t>172.16.4.1/27 / 172.16.4.33/28</t>
        </is>
      </c>
      <c r="E6" s="8" t="inlineStr">
        <is>
          <t>N/A (Gateway LAN)</t>
        </is>
      </c>
      <c r="F6" s="8" t="inlineStr">
        <is>
          <t>[ OK ]</t>
        </is>
      </c>
    </row>
    <row r="7" ht="20" customHeight="1">
      <c r="A7" s="4" t="inlineStr">
        <is>
          <t>clab-proyecto-r3</t>
        </is>
      </c>
      <c r="B7" s="5" t="inlineStr">
        <is>
          <t>Router Tránsito</t>
        </is>
      </c>
      <c r="C7" s="4" t="inlineStr">
        <is>
          <t>eth1 (WAN2) / eth2 (WAN3)</t>
        </is>
      </c>
      <c r="D7" s="5" t="inlineStr">
        <is>
          <t>172.16.4.62/30 / 172.16.4.66/30</t>
        </is>
      </c>
      <c r="E7" s="5" t="inlineStr">
        <is>
          <t>N/A (OSPF Area 0)</t>
        </is>
      </c>
      <c r="F7" s="5" t="inlineStr">
        <is>
          <t>[ OK ]</t>
        </is>
      </c>
    </row>
    <row r="8" ht="20" customHeight="1">
      <c r="A8" s="7" t="inlineStr">
        <is>
          <t>clab-proyecto-pc-admin</t>
        </is>
      </c>
      <c r="B8" s="8" t="inlineStr">
        <is>
          <t>Cliente VLAN 10</t>
        </is>
      </c>
      <c r="C8" s="7" t="inlineStr">
        <is>
          <t>eth1</t>
        </is>
      </c>
      <c r="D8" s="8" t="inlineStr">
        <is>
          <t>172.16.4.2/27</t>
        </is>
      </c>
      <c r="E8" s="8" t="inlineStr">
        <is>
          <t>172.16.4.1 (r2 eth1.10)</t>
        </is>
      </c>
      <c r="F8" s="8" t="inlineStr">
        <is>
          <t>[ OK ]</t>
        </is>
      </c>
    </row>
    <row r="9" ht="20" customHeight="1">
      <c r="A9" s="4" t="inlineStr">
        <is>
          <t>clab-proyecto-pcventas</t>
        </is>
      </c>
      <c r="B9" s="5" t="inlineStr">
        <is>
          <t>Cliente VLAN 20</t>
        </is>
      </c>
      <c r="C9" s="4" t="inlineStr">
        <is>
          <t>eth1</t>
        </is>
      </c>
      <c r="D9" s="5" t="inlineStr">
        <is>
          <t>172.16.4.34/28</t>
        </is>
      </c>
      <c r="E9" s="5" t="inlineStr">
        <is>
          <t>172.16.4.33 (r2 eth1.20)</t>
        </is>
      </c>
      <c r="F9" s="5" t="inlineStr">
        <is>
          <t>[ OK ]</t>
        </is>
      </c>
    </row>
    <row r="10" ht="20" customHeight="1">
      <c r="A10" s="7" t="inlineStr">
        <is>
          <t>clab-proyecto-srv-web</t>
        </is>
      </c>
      <c r="B10" s="8" t="inlineStr">
        <is>
          <t>Servidor Web (HTTP)</t>
        </is>
      </c>
      <c r="C10" s="7" t="inlineStr">
        <is>
          <t>eth1</t>
        </is>
      </c>
      <c r="D10" s="8" t="inlineStr">
        <is>
          <t>172.16.4.50/29</t>
        </is>
      </c>
      <c r="E10" s="8" t="inlineStr">
        <is>
          <t>172.16.4.49 (r1 eth3)</t>
        </is>
      </c>
      <c r="F10" s="8" t="inlineStr">
        <is>
          <t>[ OK ]</t>
        </is>
      </c>
    </row>
    <row r="11" ht="20" customHeight="1">
      <c r="A11" s="4" t="inlineStr">
        <is>
          <t>clab-proyecto-srv-datos</t>
        </is>
      </c>
      <c r="B11" s="5" t="inlineStr">
        <is>
          <t>Servidor Datos (Syslog)</t>
        </is>
      </c>
      <c r="C11" s="4" t="inlineStr">
        <is>
          <t>eth1</t>
        </is>
      </c>
      <c r="D11" s="5" t="inlineStr">
        <is>
          <t>172.16.4.51/29</t>
        </is>
      </c>
      <c r="E11" s="5" t="inlineStr">
        <is>
          <t>172.16.4.49 (r1 eth3)</t>
        </is>
      </c>
      <c r="F11" s="5" t="inlineStr">
        <is>
          <t>[ OK ]</t>
        </is>
      </c>
    </row>
    <row r="12" ht="20" customHeight="1">
      <c r="A12" s="7" t="inlineStr">
        <is>
          <t>clab-proyecto-externo</t>
        </is>
      </c>
      <c r="B12" s="8" t="inlineStr">
        <is>
          <t>Host Internet Simulada</t>
        </is>
      </c>
      <c r="C12" s="7" t="inlineStr">
        <is>
          <t>eth1</t>
        </is>
      </c>
      <c r="D12" s="8" t="inlineStr">
        <is>
          <t>203.0.113.2/29</t>
        </is>
      </c>
      <c r="E12" s="8" t="inlineStr">
        <is>
          <t>203.0.113.1 (r1 eth2)</t>
        </is>
      </c>
      <c r="F12" s="8" t="inlineStr">
        <is>
          <t>[ OK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2026-10-27T13:49:50Z</dcterms:created>
  <dcterms:modified xmlns:dcterms="http://purl.org/dc/terms/" xmlns:xsi="http://www.w3.org/2001/XMLSchema-instance" xsi:type="dcterms:W3CDTF">2026-10-27T13:49:50Z</dcterms:modified>
</cp:coreProperties>
</file>