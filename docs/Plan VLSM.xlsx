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ore\OneDrive\Documentos\1Universidad\IV SEMESTRE\Redes y Comunicaciones\"/>
    </mc:Choice>
  </mc:AlternateContent>
  <xr:revisionPtr revIDLastSave="0" documentId="13_ncr:1_{F11DD8BC-2CC7-445C-AF8F-74EA6A7C3A69}" xr6:coauthVersionLast="47" xr6:coauthVersionMax="47" xr10:uidLastSave="{00000000-0000-0000-0000-000000000000}"/>
  <bookViews>
    <workbookView xWindow="-98" yWindow="-98" windowWidth="19396" windowHeight="10276" activeTab="1" xr2:uid="{87C96692-36C3-410B-A62F-253B3D500A91}"/>
  </bookViews>
  <sheets>
    <sheet name="Plan VLSM" sheetId="1" r:id="rId1"/>
    <sheet name="Direccionamiento" sheetId="2" r:id="rId2"/>
    <sheet name="Plan Cambio 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10" i="3"/>
  <c r="D9" i="3"/>
  <c r="D8" i="3"/>
  <c r="D7" i="3"/>
  <c r="D6" i="3"/>
</calcChain>
</file>

<file path=xl/sharedStrings.xml><?xml version="1.0" encoding="utf-8"?>
<sst xmlns="http://schemas.openxmlformats.org/spreadsheetml/2006/main" count="266" uniqueCount="148">
  <si>
    <t>N° Grupo</t>
  </si>
  <si>
    <t>Bloque</t>
  </si>
  <si>
    <t>172.16.4.0/24</t>
  </si>
  <si>
    <t>(bloque 172.16.&lt;N° de grupo&gt;.0/24)</t>
  </si>
  <si>
    <t>RED</t>
  </si>
  <si>
    <t>HOSTS REQUERIDOS</t>
  </si>
  <si>
    <t>BITS HOST</t>
  </si>
  <si>
    <t>PREFIJO</t>
  </si>
  <si>
    <t>TAMAÑO BLOQUE</t>
  </si>
  <si>
    <t>HOSTS ÚTILES</t>
  </si>
  <si>
    <t>OFFSET (4° OCTETO)</t>
  </si>
  <si>
    <t>DIRECCIÓN RED</t>
  </si>
  <si>
    <t>MÁSCARA</t>
  </si>
  <si>
    <t>PRIMERA IP ÚTIL</t>
  </si>
  <si>
    <t>VLAN 10 - ADMINISTRACIÓN</t>
  </si>
  <si>
    <t>VLAN 20 - VENTAS</t>
  </si>
  <si>
    <t>SERVIDORES</t>
  </si>
  <si>
    <t>ENLACE R1-R2</t>
  </si>
  <si>
    <t>ENLACE R2-R3</t>
  </si>
  <si>
    <t>ENLACE R1-R3</t>
  </si>
  <si>
    <t>/27</t>
  </si>
  <si>
    <t>/28</t>
  </si>
  <si>
    <t>/29</t>
  </si>
  <si>
    <t>/30</t>
  </si>
  <si>
    <t>172.16.4.0/27</t>
  </si>
  <si>
    <t>172.16.4.32/28</t>
  </si>
  <si>
    <t>172.16.4.48/29</t>
  </si>
  <si>
    <t>172.16.4.56/30</t>
  </si>
  <si>
    <t>172.16.4.60/30</t>
  </si>
  <si>
    <t>172.16.4.64/30</t>
  </si>
  <si>
    <t>BROADCAST</t>
  </si>
  <si>
    <t>172.16.4.65</t>
  </si>
  <si>
    <t>172.16.4.61</t>
  </si>
  <si>
    <t>172.16.4.57</t>
  </si>
  <si>
    <t>172.16.4.49</t>
  </si>
  <si>
    <t>172.16.4.33</t>
  </si>
  <si>
    <t>ÚLTIMA IP ÚTIL</t>
  </si>
  <si>
    <t>172.16.4.1</t>
  </si>
  <si>
    <t>172.16.4.31</t>
  </si>
  <si>
    <t>172.16.4.47</t>
  </si>
  <si>
    <t>172.16.4.55</t>
  </si>
  <si>
    <t>172.16.4.59</t>
  </si>
  <si>
    <t>172.16.4.63</t>
  </si>
  <si>
    <t>172.16.4.67</t>
  </si>
  <si>
    <t>172.16.4.30</t>
  </si>
  <si>
    <t>172.16.4.46</t>
  </si>
  <si>
    <t>172.16.4.54</t>
  </si>
  <si>
    <t>172.16.4.58</t>
  </si>
  <si>
    <t>172.16.4.62</t>
  </si>
  <si>
    <t>172.16.4.66</t>
  </si>
  <si>
    <t>ASIGNACIÓN IPs</t>
  </si>
  <si>
    <t>GATEWAY</t>
  </si>
  <si>
    <t>Tabla Direccionamiento por Interfaz</t>
  </si>
  <si>
    <t>PLAN VLSM - NetLab Monitor</t>
  </si>
  <si>
    <t>NODO</t>
  </si>
  <si>
    <t>INTERFAZ</t>
  </si>
  <si>
    <t>DIRECCIÓN IP</t>
  </si>
  <si>
    <t>CONECTA CON</t>
  </si>
  <si>
    <t>r1</t>
  </si>
  <si>
    <t>r2</t>
  </si>
  <si>
    <t>r3</t>
  </si>
  <si>
    <t>pc-admin</t>
  </si>
  <si>
    <t>pc-ventas</t>
  </si>
  <si>
    <t>srv-web</t>
  </si>
  <si>
    <t>srv-datos</t>
  </si>
  <si>
    <t>externo</t>
  </si>
  <si>
    <t>eth1</t>
  </si>
  <si>
    <t>eth2</t>
  </si>
  <si>
    <t>eth3</t>
  </si>
  <si>
    <t>eth4</t>
  </si>
  <si>
    <t>eth1.10</t>
  </si>
  <si>
    <t>eth1.20</t>
  </si>
  <si>
    <t>r2 (eth2)</t>
  </si>
  <si>
    <t>r3 (eth1)</t>
  </si>
  <si>
    <t>sw-b (Servidores)</t>
  </si>
  <si>
    <t>externo (salida NAT)</t>
  </si>
  <si>
    <t>sw-a (VLAN 10, trunk eth1)</t>
  </si>
  <si>
    <t>sw-a (VLAN 20, trunk eth1)</t>
  </si>
  <si>
    <t>r1 (eth1)</t>
  </si>
  <si>
    <t>r3 (eth2)</t>
  </si>
  <si>
    <t>r1 (eth2)</t>
  </si>
  <si>
    <t>r2 (eth3)</t>
  </si>
  <si>
    <t>sw-a (VLAN 10)</t>
  </si>
  <si>
    <t>sw-a (VLAN 20)</t>
  </si>
  <si>
    <t>sw-b</t>
  </si>
  <si>
    <t>r1 (eth4)</t>
  </si>
  <si>
    <t>Gateway VLAN 10</t>
  </si>
  <si>
    <t>Gateway VLAN 20</t>
  </si>
  <si>
    <t>203.0.113.1</t>
  </si>
  <si>
    <t>203.0.113.2</t>
  </si>
  <si>
    <t>172.16.4.2</t>
  </si>
  <si>
    <t>172.16.4.34</t>
  </si>
  <si>
    <t>172.16.4.50</t>
  </si>
  <si>
    <t>172.16.4.51</t>
  </si>
  <si>
    <t>172.16.4.32/27</t>
  </si>
  <si>
    <t>172.16.4.64/29</t>
  </si>
  <si>
    <t>172.16.4.72/30</t>
  </si>
  <si>
    <t>172.16.4.76/30</t>
  </si>
  <si>
    <t>172.16.4.80/30</t>
  </si>
  <si>
    <t>172.16.4.73</t>
  </si>
  <si>
    <t>172.16.4.77</t>
  </si>
  <si>
    <t>172.16.4.81</t>
  </si>
  <si>
    <t>172.16.4.71</t>
  </si>
  <si>
    <t>172.16.4.75</t>
  </si>
  <si>
    <t>172.16.4.79</t>
  </si>
  <si>
    <t>172.16.4.83</t>
  </si>
  <si>
    <t>172.16.4.70</t>
  </si>
  <si>
    <t>172.16.4.74</t>
  </si>
  <si>
    <t>172.16.4.78</t>
  </si>
  <si>
    <t>172.16.4.82</t>
  </si>
  <si>
    <t>Cambio D: VLAN 20 pasa de 12 a 30 hosts requeridos (/27). Al ocupar 32 direcciones, el resto de las redes se desplaza y sigue sin solaparse.</t>
  </si>
  <si>
    <r>
      <rPr>
        <b/>
        <sz val="11"/>
        <color theme="1"/>
        <rFont val="Aptos Narrow"/>
        <family val="2"/>
        <scheme val="minor"/>
      </rPr>
      <t>Gateway r2 (eth1.10)</t>
    </r>
    <r>
      <rPr>
        <sz val="11"/>
        <color theme="1"/>
        <rFont val="Aptos Narrow"/>
        <family val="2"/>
        <scheme val="minor"/>
      </rPr>
      <t>: 172.16.4.1 |</t>
    </r>
    <r>
      <rPr>
        <b/>
        <sz val="11"/>
        <color theme="1"/>
        <rFont val="Aptos Narrow"/>
        <family val="2"/>
        <scheme val="minor"/>
      </rPr>
      <t>pc-admin</t>
    </r>
    <r>
      <rPr>
        <sz val="11"/>
        <color theme="1"/>
        <rFont val="Aptos Narrow"/>
        <family val="2"/>
        <scheme val="minor"/>
      </rPr>
      <t>: 172.16.4.2</t>
    </r>
  </si>
  <si>
    <r>
      <rPr>
        <b/>
        <sz val="11"/>
        <color theme="1"/>
        <rFont val="Aptos Narrow"/>
        <family val="2"/>
        <scheme val="minor"/>
      </rPr>
      <t>Gateway r2 (eth1.20)</t>
    </r>
    <r>
      <rPr>
        <sz val="11"/>
        <color theme="1"/>
        <rFont val="Aptos Narrow"/>
        <family val="2"/>
        <scheme val="minor"/>
      </rPr>
      <t xml:space="preserve">: 172.16.4.33 | </t>
    </r>
    <r>
      <rPr>
        <b/>
        <sz val="11"/>
        <color theme="1"/>
        <rFont val="Aptos Narrow"/>
        <family val="2"/>
        <scheme val="minor"/>
      </rPr>
      <t>pc-ventas</t>
    </r>
    <r>
      <rPr>
        <sz val="11"/>
        <color theme="1"/>
        <rFont val="Aptos Narrow"/>
        <family val="2"/>
        <scheme val="minor"/>
      </rPr>
      <t>:172.16.4.34</t>
    </r>
  </si>
  <si>
    <r>
      <rPr>
        <b/>
        <sz val="11"/>
        <color theme="1"/>
        <rFont val="Aptos Narrow"/>
        <family val="2"/>
        <scheme val="minor"/>
      </rPr>
      <t>Gateway r1 (eth3)</t>
    </r>
    <r>
      <rPr>
        <sz val="11"/>
        <color theme="1"/>
        <rFont val="Aptos Narrow"/>
        <family val="2"/>
        <scheme val="minor"/>
      </rPr>
      <t xml:space="preserve">: 172.16.4.65 | </t>
    </r>
    <r>
      <rPr>
        <b/>
        <sz val="11"/>
        <color theme="1"/>
        <rFont val="Aptos Narrow"/>
        <family val="2"/>
        <scheme val="minor"/>
      </rPr>
      <t>srv-web</t>
    </r>
    <r>
      <rPr>
        <sz val="11"/>
        <color theme="1"/>
        <rFont val="Aptos Narrow"/>
        <family val="2"/>
        <scheme val="minor"/>
      </rPr>
      <t xml:space="preserve">: 172.16.4.66 | </t>
    </r>
    <r>
      <rPr>
        <b/>
        <sz val="11"/>
        <color theme="1"/>
        <rFont val="Aptos Narrow"/>
        <family val="2"/>
        <scheme val="minor"/>
      </rPr>
      <t>srv-datos</t>
    </r>
    <r>
      <rPr>
        <sz val="11"/>
        <color theme="1"/>
        <rFont val="Aptos Narrow"/>
        <family val="2"/>
        <scheme val="minor"/>
      </rPr>
      <t>: 172.16.4.67</t>
    </r>
  </si>
  <si>
    <r>
      <rPr>
        <b/>
        <sz val="11"/>
        <color theme="1"/>
        <rFont val="Aptos Narrow"/>
        <family val="2"/>
        <scheme val="minor"/>
      </rPr>
      <t>r1 eth1</t>
    </r>
    <r>
      <rPr>
        <sz val="11"/>
        <color theme="1"/>
        <rFont val="Aptos Narrow"/>
        <family val="2"/>
        <scheme val="minor"/>
      </rPr>
      <t xml:space="preserve">: 172.16.4.73  | </t>
    </r>
    <r>
      <rPr>
        <b/>
        <sz val="11"/>
        <color theme="1"/>
        <rFont val="Aptos Narrow"/>
        <family val="2"/>
        <scheme val="minor"/>
      </rPr>
      <t xml:space="preserve"> r2 eth2</t>
    </r>
    <r>
      <rPr>
        <sz val="11"/>
        <color theme="1"/>
        <rFont val="Aptos Narrow"/>
        <family val="2"/>
        <scheme val="minor"/>
      </rPr>
      <t>: 172.16.4.74</t>
    </r>
  </si>
  <si>
    <r>
      <rPr>
        <b/>
        <sz val="11"/>
        <color theme="1"/>
        <rFont val="Aptos Narrow"/>
        <family val="2"/>
        <scheme val="minor"/>
      </rPr>
      <t>r2 eth3</t>
    </r>
    <r>
      <rPr>
        <sz val="11"/>
        <color theme="1"/>
        <rFont val="Aptos Narrow"/>
        <family val="2"/>
        <scheme val="minor"/>
      </rPr>
      <t xml:space="preserve">: 172.16.4.77  | </t>
    </r>
    <r>
      <rPr>
        <b/>
        <sz val="11"/>
        <color theme="1"/>
        <rFont val="Aptos Narrow"/>
        <family val="2"/>
        <scheme val="minor"/>
      </rPr>
      <t xml:space="preserve"> r3 eth2</t>
    </r>
    <r>
      <rPr>
        <sz val="11"/>
        <color theme="1"/>
        <rFont val="Aptos Narrow"/>
        <family val="2"/>
        <scheme val="minor"/>
      </rPr>
      <t>: 172.16.4.78</t>
    </r>
  </si>
  <si>
    <r>
      <rPr>
        <b/>
        <sz val="11"/>
        <color theme="1"/>
        <rFont val="Aptos Narrow"/>
        <family val="2"/>
        <scheme val="minor"/>
      </rPr>
      <t>r1 eth2</t>
    </r>
    <r>
      <rPr>
        <sz val="11"/>
        <color theme="1"/>
        <rFont val="Aptos Narrow"/>
        <family val="2"/>
        <scheme val="minor"/>
      </rPr>
      <t xml:space="preserve">: 172.16.4.81 |  </t>
    </r>
    <r>
      <rPr>
        <b/>
        <sz val="11"/>
        <color theme="1"/>
        <rFont val="Aptos Narrow"/>
        <family val="2"/>
        <scheme val="minor"/>
      </rPr>
      <t>r3 eth1</t>
    </r>
    <r>
      <rPr>
        <sz val="11"/>
        <color theme="1"/>
        <rFont val="Aptos Narrow"/>
        <family val="2"/>
        <scheme val="minor"/>
      </rPr>
      <t>: 172.16.4.82</t>
    </r>
  </si>
  <si>
    <r>
      <t xml:space="preserve">203.0.113.0/29 → </t>
    </r>
    <r>
      <rPr>
        <b/>
        <sz val="11"/>
        <color rgb="FF000000"/>
        <rFont val="Aptos Narrow"/>
        <family val="2"/>
        <scheme val="minor"/>
      </rPr>
      <t>r1</t>
    </r>
    <r>
      <rPr>
        <sz val="11"/>
        <color rgb="FF000000"/>
        <rFont val="Aptos Narrow"/>
        <family val="2"/>
        <scheme val="minor"/>
      </rPr>
      <t xml:space="preserve"> = 203.0.113.1, </t>
    </r>
    <r>
      <rPr>
        <b/>
        <sz val="11"/>
        <color rgb="FF000000"/>
        <rFont val="Aptos Narrow"/>
        <family val="2"/>
        <scheme val="minor"/>
      </rPr>
      <t>externo</t>
    </r>
    <r>
      <rPr>
        <sz val="11"/>
        <color rgb="FF000000"/>
        <rFont val="Aptos Narrow"/>
        <family val="2"/>
        <scheme val="minor"/>
      </rPr>
      <t xml:space="preserve"> = 203.0.113.2</t>
    </r>
  </si>
  <si>
    <r>
      <rPr>
        <b/>
        <sz val="11"/>
        <color theme="1"/>
        <rFont val="Aptos Narrow"/>
        <family val="2"/>
        <scheme val="minor"/>
      </rPr>
      <t>Gateway r1 (eth3)</t>
    </r>
    <r>
      <rPr>
        <sz val="11"/>
        <color theme="1"/>
        <rFont val="Aptos Narrow"/>
        <family val="2"/>
        <scheme val="minor"/>
      </rPr>
      <t xml:space="preserve">: 172.16.4.49 | </t>
    </r>
    <r>
      <rPr>
        <b/>
        <sz val="11"/>
        <color theme="1"/>
        <rFont val="Aptos Narrow"/>
        <family val="2"/>
        <scheme val="minor"/>
      </rPr>
      <t>srv-web</t>
    </r>
    <r>
      <rPr>
        <sz val="11"/>
        <color theme="1"/>
        <rFont val="Aptos Narrow"/>
        <family val="2"/>
        <scheme val="minor"/>
      </rPr>
      <t xml:space="preserve">: 172.16.4.50 | </t>
    </r>
    <r>
      <rPr>
        <b/>
        <sz val="11"/>
        <color theme="1"/>
        <rFont val="Aptos Narrow"/>
        <family val="2"/>
        <scheme val="minor"/>
      </rPr>
      <t>srv-datos</t>
    </r>
    <r>
      <rPr>
        <sz val="11"/>
        <color theme="1"/>
        <rFont val="Aptos Narrow"/>
        <family val="2"/>
        <scheme val="minor"/>
      </rPr>
      <t>: 172.16.4.51</t>
    </r>
  </si>
  <si>
    <r>
      <rPr>
        <b/>
        <sz val="11"/>
        <color theme="1"/>
        <rFont val="Aptos Narrow"/>
        <family val="2"/>
        <scheme val="minor"/>
      </rPr>
      <t>r1 eth1</t>
    </r>
    <r>
      <rPr>
        <sz val="11"/>
        <color theme="1"/>
        <rFont val="Aptos Narrow"/>
        <family val="2"/>
        <scheme val="minor"/>
      </rPr>
      <t xml:space="preserve">: 172.16.4.57  | </t>
    </r>
    <r>
      <rPr>
        <b/>
        <sz val="11"/>
        <color theme="1"/>
        <rFont val="Aptos Narrow"/>
        <family val="2"/>
        <scheme val="minor"/>
      </rPr>
      <t xml:space="preserve"> r2 eth2</t>
    </r>
    <r>
      <rPr>
        <sz val="11"/>
        <color theme="1"/>
        <rFont val="Aptos Narrow"/>
        <family val="2"/>
        <scheme val="minor"/>
      </rPr>
      <t>: 172.16.4.58</t>
    </r>
  </si>
  <si>
    <r>
      <rPr>
        <b/>
        <sz val="11"/>
        <color theme="1"/>
        <rFont val="Aptos Narrow"/>
        <family val="2"/>
        <scheme val="minor"/>
      </rPr>
      <t>r2 eth3</t>
    </r>
    <r>
      <rPr>
        <sz val="11"/>
        <color theme="1"/>
        <rFont val="Aptos Narrow"/>
        <family val="2"/>
        <scheme val="minor"/>
      </rPr>
      <t xml:space="preserve">: 172.16.4.61  | </t>
    </r>
    <r>
      <rPr>
        <b/>
        <sz val="11"/>
        <color theme="1"/>
        <rFont val="Aptos Narrow"/>
        <family val="2"/>
        <scheme val="minor"/>
      </rPr>
      <t xml:space="preserve"> r3 eth2</t>
    </r>
    <r>
      <rPr>
        <sz val="11"/>
        <color theme="1"/>
        <rFont val="Aptos Narrow"/>
        <family val="2"/>
        <scheme val="minor"/>
      </rPr>
      <t>: 172.16.4.62</t>
    </r>
  </si>
  <si>
    <r>
      <rPr>
        <b/>
        <sz val="11"/>
        <color theme="1"/>
        <rFont val="Aptos Narrow"/>
        <family val="2"/>
        <scheme val="minor"/>
      </rPr>
      <t>r1 eth2</t>
    </r>
    <r>
      <rPr>
        <sz val="11"/>
        <color theme="1"/>
        <rFont val="Aptos Narrow"/>
        <family val="2"/>
        <scheme val="minor"/>
      </rPr>
      <t xml:space="preserve">: 172.16.4.65  |  </t>
    </r>
    <r>
      <rPr>
        <b/>
        <sz val="11"/>
        <color theme="1"/>
        <rFont val="Aptos Narrow"/>
        <family val="2"/>
        <scheme val="minor"/>
      </rPr>
      <t>r3 eth1</t>
    </r>
    <r>
      <rPr>
        <sz val="11"/>
        <color theme="1"/>
        <rFont val="Aptos Narrow"/>
        <family val="2"/>
        <scheme val="minor"/>
      </rPr>
      <t>: 172.16.4.66</t>
    </r>
  </si>
  <si>
    <r>
      <rPr>
        <b/>
        <sz val="11"/>
        <color theme="1"/>
        <rFont val="Aptos Narrow"/>
        <family val="2"/>
        <scheme val="minor"/>
      </rPr>
      <t>sw-a y sw-b no tienen IP</t>
    </r>
    <r>
      <rPr>
        <sz val="11"/>
        <color theme="1"/>
        <rFont val="Aptos Narrow"/>
        <family val="2"/>
        <scheme val="minor"/>
      </rPr>
      <t xml:space="preserve">: son </t>
    </r>
    <r>
      <rPr>
        <b/>
        <sz val="11"/>
        <color theme="1"/>
        <rFont val="Aptos Narrow"/>
        <family val="2"/>
        <scheme val="minor"/>
      </rPr>
      <t>bridges</t>
    </r>
    <r>
      <rPr>
        <sz val="11"/>
        <color theme="1"/>
        <rFont val="Aptos Narrow"/>
        <family val="2"/>
        <scheme val="minor"/>
      </rPr>
      <t xml:space="preserve"> del host (kind:bridge). eth1.10 / eth1.20 son </t>
    </r>
    <r>
      <rPr>
        <b/>
        <sz val="11"/>
        <color theme="1"/>
        <rFont val="Aptos Narrow"/>
        <family val="2"/>
        <scheme val="minor"/>
      </rPr>
      <t>subinterfaces</t>
    </r>
    <r>
      <rPr>
        <sz val="11"/>
        <color theme="1"/>
        <rFont val="Aptos Narrow"/>
        <family val="2"/>
        <scheme val="minor"/>
      </rPr>
      <t xml:space="preserve"> 802.1Q (VLAN 10 y 20)</t>
    </r>
  </si>
  <si>
    <t>PUERTOS DE LOS SWITCHES (BRIDGES HOST)</t>
  </si>
  <si>
    <t>SWITCH</t>
  </si>
  <si>
    <t>PUERTO</t>
  </si>
  <si>
    <t>FUNCIÓN</t>
  </si>
  <si>
    <t>sw-a</t>
  </si>
  <si>
    <t>r2 (eth1)</t>
  </si>
  <si>
    <t>Trunk VLAN 10 y 20</t>
  </si>
  <si>
    <t>pc-admin (eth1)</t>
  </si>
  <si>
    <t>VLAN 10 (etiqueta el cliente)</t>
  </si>
  <si>
    <t>pc-ventas (eth1)</t>
  </si>
  <si>
    <t>VLAN 20 (etiqueta el cliente)</t>
  </si>
  <si>
    <t>r1 (eth3)</t>
  </si>
  <si>
    <t>Gateway de Servidores</t>
  </si>
  <si>
    <t>eth5</t>
  </si>
  <si>
    <t>srv-web (eth1)</t>
  </si>
  <si>
    <t>Servidor HTTP</t>
  </si>
  <si>
    <t>eth6</t>
  </si>
  <si>
    <t>srv-datos (eth1)</t>
  </si>
  <si>
    <t>Los bridges del host no pueden repetir nombres de interfaz, por eso sw-a usa eth1–eth3 y sw-b usa eth4–eth6.</t>
  </si>
  <si>
    <t>Segundo servicio (TCP O UDP)</t>
  </si>
  <si>
    <t>Integrantes</t>
  </si>
  <si>
    <t>Victoria Rojas, Javier Vidal y Fiorella Bovet</t>
  </si>
  <si>
    <t>203.0.113.0/29</t>
  </si>
  <si>
    <t>—</t>
  </si>
  <si>
    <t>Cambio D (pregunta 4): Ampliar la VLAN 20 de /28 a 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</si>
</sst>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/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1042029</xdr:colOff>
      <xdr:row>19</xdr:row>
      <xdr:rowOff>84547</xdr:rowOff>
    </xdr:from>
    <xdr:to>
      <xdr:col>13</xdr:col>
      <xdr:colOff>2560206</xdr:colOff>
      <xdr:row>50</xdr:row>
      <xdr:rowOff>12210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3BC81D-C209-3CC8-CD40-0C355C346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2798" y="3564837"/>
          <a:ext cx="11849139" cy="5606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63A6-9768-4983-A139-16FCA836C1C2}">
  <dimension ref="B2:N19"/>
  <sheetViews>
    <sheetView topLeftCell="B1" zoomScaleNormal="100" workbookViewId="0">
      <selection activeCell="H19" sqref="H19"/>
    </sheetView>
  </sheetViews>
  <sheetFormatPr baseColWidth="10" defaultRowHeight="14.25" x14ac:dyDescent="0.45"/>
  <cols>
    <col min="2" max="2" width="23.9296875" bestFit="1" customWidth="1"/>
    <col min="3" max="3" width="17.06640625" bestFit="1" customWidth="1"/>
    <col min="4" max="4" width="9.9296875" customWidth="1"/>
    <col min="5" max="5" width="7.06640625" bestFit="1" customWidth="1"/>
    <col min="6" max="6" width="14.53125" bestFit="1" customWidth="1"/>
    <col min="7" max="7" width="11.86328125" bestFit="1" customWidth="1"/>
    <col min="8" max="8" width="16.86328125" bestFit="1" customWidth="1"/>
    <col min="9" max="9" width="13.73046875" bestFit="1" customWidth="1"/>
    <col min="10" max="10" width="14.33203125" bestFit="1" customWidth="1"/>
    <col min="11" max="11" width="13.796875" bestFit="1" customWidth="1"/>
    <col min="12" max="12" width="12.3984375" bestFit="1" customWidth="1"/>
    <col min="13" max="13" width="12.9296875" bestFit="1" customWidth="1"/>
    <col min="14" max="14" width="63.6640625" bestFit="1" customWidth="1"/>
  </cols>
  <sheetData>
    <row r="2" spans="2:14" x14ac:dyDescent="0.45">
      <c r="B2" s="3" t="s">
        <v>53</v>
      </c>
    </row>
    <row r="4" spans="2:14" x14ac:dyDescent="0.45">
      <c r="B4" s="4" t="s">
        <v>143</v>
      </c>
      <c r="C4" s="15" t="s">
        <v>144</v>
      </c>
      <c r="D4" s="16"/>
      <c r="E4" s="17"/>
    </row>
    <row r="5" spans="2:14" x14ac:dyDescent="0.45">
      <c r="B5" s="4" t="s">
        <v>0</v>
      </c>
      <c r="C5" s="14">
        <v>4</v>
      </c>
    </row>
    <row r="6" spans="2:14" x14ac:dyDescent="0.45">
      <c r="B6" s="4" t="s">
        <v>1</v>
      </c>
      <c r="C6" s="5" t="s">
        <v>2</v>
      </c>
      <c r="D6" s="2" t="s">
        <v>3</v>
      </c>
    </row>
    <row r="8" spans="2:14" x14ac:dyDescent="0.45">
      <c r="K8" s="4" t="s">
        <v>51</v>
      </c>
    </row>
    <row r="9" spans="2:14" x14ac:dyDescent="0.45"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36</v>
      </c>
      <c r="M9" s="4" t="s">
        <v>30</v>
      </c>
      <c r="N9" s="4" t="s">
        <v>50</v>
      </c>
    </row>
    <row r="10" spans="2:14" x14ac:dyDescent="0.45">
      <c r="B10" s="5" t="s">
        <v>14</v>
      </c>
      <c r="C10" s="5">
        <v>25</v>
      </c>
      <c r="D10" s="5">
        <v>5</v>
      </c>
      <c r="E10" s="5" t="s">
        <v>20</v>
      </c>
      <c r="F10" s="5">
        <v>32</v>
      </c>
      <c r="G10" s="5">
        <v>30</v>
      </c>
      <c r="H10" s="5">
        <v>0</v>
      </c>
      <c r="I10" s="5" t="s">
        <v>24</v>
      </c>
      <c r="J10" s="9">
        <v>255255255224</v>
      </c>
      <c r="K10" s="5" t="s">
        <v>37</v>
      </c>
      <c r="L10" s="5" t="s">
        <v>44</v>
      </c>
      <c r="M10" s="5" t="s">
        <v>38</v>
      </c>
      <c r="N10" s="5" t="s">
        <v>111</v>
      </c>
    </row>
    <row r="11" spans="2:14" x14ac:dyDescent="0.45">
      <c r="B11" s="5" t="s">
        <v>15</v>
      </c>
      <c r="C11" s="5">
        <v>12</v>
      </c>
      <c r="D11" s="5">
        <v>4</v>
      </c>
      <c r="E11" s="5" t="s">
        <v>21</v>
      </c>
      <c r="F11" s="5">
        <v>16</v>
      </c>
      <c r="G11" s="5">
        <v>14</v>
      </c>
      <c r="H11" s="5">
        <v>32</v>
      </c>
      <c r="I11" s="5" t="s">
        <v>25</v>
      </c>
      <c r="J11" s="9">
        <v>255255255240</v>
      </c>
      <c r="K11" s="5" t="s">
        <v>35</v>
      </c>
      <c r="L11" s="5" t="s">
        <v>45</v>
      </c>
      <c r="M11" s="5" t="s">
        <v>39</v>
      </c>
      <c r="N11" s="5" t="s">
        <v>112</v>
      </c>
    </row>
    <row r="12" spans="2:14" x14ac:dyDescent="0.45">
      <c r="B12" s="5" t="s">
        <v>16</v>
      </c>
      <c r="C12" s="5">
        <v>6</v>
      </c>
      <c r="D12" s="5">
        <v>3</v>
      </c>
      <c r="E12" s="5" t="s">
        <v>22</v>
      </c>
      <c r="F12" s="5">
        <v>8</v>
      </c>
      <c r="G12" s="5">
        <v>6</v>
      </c>
      <c r="H12" s="5">
        <v>48</v>
      </c>
      <c r="I12" s="5" t="s">
        <v>26</v>
      </c>
      <c r="J12" s="9">
        <v>255255255248</v>
      </c>
      <c r="K12" s="5" t="s">
        <v>34</v>
      </c>
      <c r="L12" s="5" t="s">
        <v>46</v>
      </c>
      <c r="M12" s="5" t="s">
        <v>40</v>
      </c>
      <c r="N12" s="5" t="s">
        <v>118</v>
      </c>
    </row>
    <row r="13" spans="2:14" x14ac:dyDescent="0.45">
      <c r="B13" s="5" t="s">
        <v>17</v>
      </c>
      <c r="C13" s="5">
        <v>2</v>
      </c>
      <c r="D13" s="5">
        <v>2</v>
      </c>
      <c r="E13" s="5" t="s">
        <v>23</v>
      </c>
      <c r="F13" s="5">
        <v>4</v>
      </c>
      <c r="G13" s="5">
        <v>2</v>
      </c>
      <c r="H13" s="5">
        <v>56</v>
      </c>
      <c r="I13" s="5" t="s">
        <v>27</v>
      </c>
      <c r="J13" s="9">
        <v>255255255252</v>
      </c>
      <c r="K13" s="5" t="s">
        <v>33</v>
      </c>
      <c r="L13" s="5" t="s">
        <v>47</v>
      </c>
      <c r="M13" s="5" t="s">
        <v>41</v>
      </c>
      <c r="N13" s="5" t="s">
        <v>119</v>
      </c>
    </row>
    <row r="14" spans="2:14" x14ac:dyDescent="0.45">
      <c r="B14" s="5" t="s">
        <v>18</v>
      </c>
      <c r="C14" s="5">
        <v>2</v>
      </c>
      <c r="D14" s="5">
        <v>2</v>
      </c>
      <c r="E14" s="5" t="s">
        <v>23</v>
      </c>
      <c r="F14" s="5">
        <v>4</v>
      </c>
      <c r="G14" s="5">
        <v>2</v>
      </c>
      <c r="H14" s="5">
        <v>60</v>
      </c>
      <c r="I14" s="5" t="s">
        <v>28</v>
      </c>
      <c r="J14" s="9">
        <v>255255255252</v>
      </c>
      <c r="K14" s="5" t="s">
        <v>32</v>
      </c>
      <c r="L14" s="5" t="s">
        <v>48</v>
      </c>
      <c r="M14" s="5" t="s">
        <v>42</v>
      </c>
      <c r="N14" s="5" t="s">
        <v>120</v>
      </c>
    </row>
    <row r="15" spans="2:14" x14ac:dyDescent="0.45">
      <c r="B15" s="5" t="s">
        <v>19</v>
      </c>
      <c r="C15" s="5">
        <v>2</v>
      </c>
      <c r="D15" s="5">
        <v>2</v>
      </c>
      <c r="E15" s="5" t="s">
        <v>23</v>
      </c>
      <c r="F15" s="5">
        <v>4</v>
      </c>
      <c r="G15" s="5">
        <v>2</v>
      </c>
      <c r="H15" s="5">
        <v>64</v>
      </c>
      <c r="I15" s="5" t="s">
        <v>29</v>
      </c>
      <c r="J15" s="9">
        <v>255255255252</v>
      </c>
      <c r="K15" s="5" t="s">
        <v>31</v>
      </c>
      <c r="L15" s="5" t="s">
        <v>49</v>
      </c>
      <c r="M15" s="5" t="s">
        <v>43</v>
      </c>
      <c r="N15" s="5" t="s">
        <v>121</v>
      </c>
    </row>
    <row r="16" spans="2:14" x14ac:dyDescent="0.45">
      <c r="N16" s="10" t="s">
        <v>117</v>
      </c>
    </row>
    <row r="17" spans="14:14" x14ac:dyDescent="0.45">
      <c r="N17" s="1"/>
    </row>
    <row r="18" spans="14:14" x14ac:dyDescent="0.45">
      <c r="N18" s="1"/>
    </row>
    <row r="19" spans="14:14" x14ac:dyDescent="0.45">
      <c r="N19" s="1"/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0575-8D3A-4CD4-80BD-7B936B488B5F}">
  <dimension ref="B2:I33"/>
  <sheetViews>
    <sheetView tabSelected="1" zoomScale="90" zoomScaleNormal="90" workbookViewId="0">
      <selection activeCell="K11" sqref="K11"/>
    </sheetView>
  </sheetViews>
  <sheetFormatPr baseColWidth="10" defaultRowHeight="14.25" x14ac:dyDescent="0.45"/>
  <cols>
    <col min="2" max="2" width="13.3984375" customWidth="1"/>
    <col min="3" max="3" width="8.53125" bestFit="1" customWidth="1"/>
    <col min="4" max="4" width="23.3984375" customWidth="1"/>
    <col min="5" max="5" width="23.9296875" bestFit="1" customWidth="1"/>
    <col min="6" max="6" width="20.59765625" customWidth="1"/>
    <col min="7" max="7" width="24.73046875" customWidth="1"/>
    <col min="8" max="8" width="14.53125" bestFit="1" customWidth="1"/>
  </cols>
  <sheetData>
    <row r="2" spans="2:9" x14ac:dyDescent="0.45">
      <c r="B2" s="3" t="s">
        <v>52</v>
      </c>
    </row>
    <row r="4" spans="2:9" x14ac:dyDescent="0.45">
      <c r="B4" s="4" t="s">
        <v>54</v>
      </c>
      <c r="C4" s="4" t="s">
        <v>55</v>
      </c>
      <c r="D4" s="4" t="s">
        <v>56</v>
      </c>
      <c r="E4" s="4" t="s">
        <v>7</v>
      </c>
      <c r="F4" s="4" t="s">
        <v>4</v>
      </c>
      <c r="G4" s="4" t="s">
        <v>57</v>
      </c>
      <c r="H4" s="20" t="s">
        <v>51</v>
      </c>
    </row>
    <row r="5" spans="2:9" x14ac:dyDescent="0.45">
      <c r="B5" s="6" t="s">
        <v>58</v>
      </c>
      <c r="C5" s="6" t="s">
        <v>66</v>
      </c>
      <c r="D5" s="6" t="s">
        <v>33</v>
      </c>
      <c r="E5" s="7" t="s">
        <v>23</v>
      </c>
      <c r="F5" s="6" t="s">
        <v>27</v>
      </c>
      <c r="G5" s="19" t="s">
        <v>72</v>
      </c>
      <c r="H5" s="6" t="s">
        <v>146</v>
      </c>
    </row>
    <row r="6" spans="2:9" x14ac:dyDescent="0.45">
      <c r="B6" s="6" t="s">
        <v>58</v>
      </c>
      <c r="C6" s="6" t="s">
        <v>67</v>
      </c>
      <c r="D6" s="6" t="s">
        <v>31</v>
      </c>
      <c r="E6" s="7" t="s">
        <v>23</v>
      </c>
      <c r="F6" s="6" t="s">
        <v>29</v>
      </c>
      <c r="G6" s="19" t="s">
        <v>73</v>
      </c>
      <c r="H6" s="6" t="s">
        <v>146</v>
      </c>
    </row>
    <row r="7" spans="2:9" x14ac:dyDescent="0.45">
      <c r="B7" s="6" t="s">
        <v>58</v>
      </c>
      <c r="C7" s="6" t="s">
        <v>68</v>
      </c>
      <c r="D7" s="6" t="s">
        <v>34</v>
      </c>
      <c r="E7" s="7" t="s">
        <v>22</v>
      </c>
      <c r="F7" s="6" t="s">
        <v>26</v>
      </c>
      <c r="G7" s="19" t="s">
        <v>74</v>
      </c>
      <c r="H7" s="6" t="s">
        <v>146</v>
      </c>
    </row>
    <row r="8" spans="2:9" x14ac:dyDescent="0.45">
      <c r="B8" s="6" t="s">
        <v>58</v>
      </c>
      <c r="C8" s="6" t="s">
        <v>69</v>
      </c>
      <c r="D8" s="6" t="s">
        <v>88</v>
      </c>
      <c r="E8" s="7" t="s">
        <v>22</v>
      </c>
      <c r="F8" s="6" t="s">
        <v>145</v>
      </c>
      <c r="G8" s="19" t="s">
        <v>75</v>
      </c>
      <c r="H8" s="6" t="s">
        <v>146</v>
      </c>
    </row>
    <row r="9" spans="2:9" x14ac:dyDescent="0.45">
      <c r="B9" s="6" t="s">
        <v>59</v>
      </c>
      <c r="C9" s="6" t="s">
        <v>70</v>
      </c>
      <c r="D9" s="6" t="s">
        <v>37</v>
      </c>
      <c r="E9" s="7" t="s">
        <v>20</v>
      </c>
      <c r="F9" s="6" t="s">
        <v>24</v>
      </c>
      <c r="G9" s="19" t="s">
        <v>76</v>
      </c>
      <c r="H9" s="6" t="s">
        <v>86</v>
      </c>
    </row>
    <row r="10" spans="2:9" x14ac:dyDescent="0.45">
      <c r="B10" s="6" t="s">
        <v>59</v>
      </c>
      <c r="C10" s="6" t="s">
        <v>71</v>
      </c>
      <c r="D10" s="6" t="s">
        <v>35</v>
      </c>
      <c r="E10" s="7" t="s">
        <v>21</v>
      </c>
      <c r="F10" s="6" t="s">
        <v>25</v>
      </c>
      <c r="G10" s="19" t="s">
        <v>77</v>
      </c>
      <c r="H10" s="6" t="s">
        <v>87</v>
      </c>
    </row>
    <row r="11" spans="2:9" x14ac:dyDescent="0.45">
      <c r="B11" s="6" t="s">
        <v>59</v>
      </c>
      <c r="C11" s="6" t="s">
        <v>67</v>
      </c>
      <c r="D11" s="6" t="s">
        <v>47</v>
      </c>
      <c r="E11" s="7" t="s">
        <v>23</v>
      </c>
      <c r="F11" s="21" t="s">
        <v>27</v>
      </c>
      <c r="G11" s="19" t="s">
        <v>78</v>
      </c>
      <c r="H11" s="6" t="s">
        <v>146</v>
      </c>
    </row>
    <row r="12" spans="2:9" x14ac:dyDescent="0.45">
      <c r="B12" s="6" t="s">
        <v>59</v>
      </c>
      <c r="C12" s="6" t="s">
        <v>68</v>
      </c>
      <c r="D12" s="6" t="s">
        <v>32</v>
      </c>
      <c r="E12" s="7" t="s">
        <v>23</v>
      </c>
      <c r="F12" s="21" t="s">
        <v>28</v>
      </c>
      <c r="G12" s="19" t="s">
        <v>79</v>
      </c>
      <c r="H12" s="6" t="s">
        <v>146</v>
      </c>
    </row>
    <row r="13" spans="2:9" x14ac:dyDescent="0.45">
      <c r="B13" s="6" t="s">
        <v>60</v>
      </c>
      <c r="C13" s="6" t="s">
        <v>66</v>
      </c>
      <c r="D13" s="6" t="s">
        <v>49</v>
      </c>
      <c r="E13" s="7" t="s">
        <v>23</v>
      </c>
      <c r="F13" s="6" t="s">
        <v>29</v>
      </c>
      <c r="G13" s="19" t="s">
        <v>80</v>
      </c>
      <c r="H13" s="6" t="s">
        <v>146</v>
      </c>
    </row>
    <row r="14" spans="2:9" x14ac:dyDescent="0.45">
      <c r="B14" s="6" t="s">
        <v>60</v>
      </c>
      <c r="C14" s="6" t="s">
        <v>67</v>
      </c>
      <c r="D14" s="6" t="s">
        <v>48</v>
      </c>
      <c r="E14" s="7" t="s">
        <v>23</v>
      </c>
      <c r="F14" s="6" t="s">
        <v>28</v>
      </c>
      <c r="G14" s="19" t="s">
        <v>81</v>
      </c>
      <c r="H14" s="6" t="s">
        <v>146</v>
      </c>
    </row>
    <row r="15" spans="2:9" ht="13.5" customHeight="1" x14ac:dyDescent="0.45">
      <c r="B15" s="6" t="s">
        <v>61</v>
      </c>
      <c r="C15" s="6" t="s">
        <v>70</v>
      </c>
      <c r="D15" s="6" t="s">
        <v>90</v>
      </c>
      <c r="E15" s="7" t="s">
        <v>20</v>
      </c>
      <c r="F15" s="6" t="s">
        <v>24</v>
      </c>
      <c r="G15" s="19" t="s">
        <v>82</v>
      </c>
      <c r="H15" s="21" t="s">
        <v>37</v>
      </c>
      <c r="I15" s="18"/>
    </row>
    <row r="16" spans="2:9" x14ac:dyDescent="0.45">
      <c r="B16" s="6" t="s">
        <v>62</v>
      </c>
      <c r="C16" s="6" t="s">
        <v>71</v>
      </c>
      <c r="D16" s="6" t="s">
        <v>91</v>
      </c>
      <c r="E16" s="7" t="s">
        <v>21</v>
      </c>
      <c r="F16" s="6" t="s">
        <v>25</v>
      </c>
      <c r="G16" s="19" t="s">
        <v>83</v>
      </c>
      <c r="H16" s="21" t="s">
        <v>35</v>
      </c>
      <c r="I16" s="18"/>
    </row>
    <row r="17" spans="2:9" ht="15" customHeight="1" x14ac:dyDescent="0.45">
      <c r="B17" s="6" t="s">
        <v>63</v>
      </c>
      <c r="C17" s="6" t="s">
        <v>66</v>
      </c>
      <c r="D17" s="6" t="s">
        <v>92</v>
      </c>
      <c r="E17" s="7" t="s">
        <v>22</v>
      </c>
      <c r="F17" s="6" t="s">
        <v>26</v>
      </c>
      <c r="G17" s="19" t="s">
        <v>84</v>
      </c>
      <c r="H17" s="21" t="s">
        <v>34</v>
      </c>
      <c r="I17" s="18"/>
    </row>
    <row r="18" spans="2:9" x14ac:dyDescent="0.45">
      <c r="B18" s="6" t="s">
        <v>64</v>
      </c>
      <c r="C18" s="6" t="s">
        <v>66</v>
      </c>
      <c r="D18" s="6" t="s">
        <v>93</v>
      </c>
      <c r="E18" s="7" t="s">
        <v>22</v>
      </c>
      <c r="F18" s="6" t="s">
        <v>26</v>
      </c>
      <c r="G18" s="19" t="s">
        <v>84</v>
      </c>
      <c r="H18" s="21" t="s">
        <v>34</v>
      </c>
      <c r="I18" s="18"/>
    </row>
    <row r="19" spans="2:9" x14ac:dyDescent="0.45">
      <c r="B19" s="6" t="s">
        <v>65</v>
      </c>
      <c r="C19" s="6" t="s">
        <v>66</v>
      </c>
      <c r="D19" s="6" t="s">
        <v>89</v>
      </c>
      <c r="E19" s="7" t="s">
        <v>22</v>
      </c>
      <c r="F19" s="6" t="s">
        <v>145</v>
      </c>
      <c r="G19" s="19" t="s">
        <v>85</v>
      </c>
      <c r="H19" s="6"/>
    </row>
    <row r="21" spans="2:9" x14ac:dyDescent="0.45">
      <c r="B21" s="8" t="s">
        <v>122</v>
      </c>
    </row>
    <row r="23" spans="2:9" x14ac:dyDescent="0.45">
      <c r="B23" s="3" t="s">
        <v>123</v>
      </c>
    </row>
    <row r="25" spans="2:9" x14ac:dyDescent="0.45">
      <c r="B25" s="4" t="s">
        <v>124</v>
      </c>
      <c r="C25" s="4" t="s">
        <v>125</v>
      </c>
      <c r="D25" s="4" t="s">
        <v>57</v>
      </c>
      <c r="E25" s="4" t="s">
        <v>126</v>
      </c>
    </row>
    <row r="26" spans="2:9" x14ac:dyDescent="0.45">
      <c r="B26" s="12" t="s">
        <v>127</v>
      </c>
      <c r="C26" s="12" t="s">
        <v>66</v>
      </c>
      <c r="D26" s="5" t="s">
        <v>128</v>
      </c>
      <c r="E26" s="12" t="s">
        <v>129</v>
      </c>
    </row>
    <row r="27" spans="2:9" x14ac:dyDescent="0.45">
      <c r="B27" s="12" t="s">
        <v>127</v>
      </c>
      <c r="C27" s="12" t="s">
        <v>67</v>
      </c>
      <c r="D27" s="5" t="s">
        <v>130</v>
      </c>
      <c r="E27" s="12" t="s">
        <v>131</v>
      </c>
    </row>
    <row r="28" spans="2:9" x14ac:dyDescent="0.45">
      <c r="B28" s="12" t="s">
        <v>127</v>
      </c>
      <c r="C28" s="12" t="s">
        <v>68</v>
      </c>
      <c r="D28" s="5" t="s">
        <v>132</v>
      </c>
      <c r="E28" s="12" t="s">
        <v>133</v>
      </c>
    </row>
    <row r="29" spans="2:9" x14ac:dyDescent="0.45">
      <c r="B29" s="12" t="s">
        <v>84</v>
      </c>
      <c r="C29" s="12" t="s">
        <v>69</v>
      </c>
      <c r="D29" s="5" t="s">
        <v>134</v>
      </c>
      <c r="E29" s="12" t="s">
        <v>135</v>
      </c>
    </row>
    <row r="30" spans="2:9" x14ac:dyDescent="0.45">
      <c r="B30" s="12" t="s">
        <v>84</v>
      </c>
      <c r="C30" s="12" t="s">
        <v>136</v>
      </c>
      <c r="D30" s="5" t="s">
        <v>137</v>
      </c>
      <c r="E30" s="12" t="s">
        <v>138</v>
      </c>
    </row>
    <row r="31" spans="2:9" x14ac:dyDescent="0.45">
      <c r="B31" s="12" t="s">
        <v>84</v>
      </c>
      <c r="C31" s="12" t="s">
        <v>139</v>
      </c>
      <c r="D31" s="5" t="s">
        <v>140</v>
      </c>
      <c r="E31" s="12" t="s">
        <v>142</v>
      </c>
    </row>
    <row r="33" spans="2:2" x14ac:dyDescent="0.45">
      <c r="B33" s="13" t="s">
        <v>141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89C8-149D-48C4-A7BC-7F24DD5D8567}">
  <dimension ref="B2:N18"/>
  <sheetViews>
    <sheetView zoomScale="109" zoomScaleNormal="109" workbookViewId="0">
      <selection activeCell="C14" sqref="C14"/>
    </sheetView>
  </sheetViews>
  <sheetFormatPr baseColWidth="10" defaultRowHeight="14.25" x14ac:dyDescent="0.45"/>
  <cols>
    <col min="2" max="2" width="25.796875" customWidth="1"/>
    <col min="3" max="3" width="17.46484375" bestFit="1" customWidth="1"/>
    <col min="6" max="6" width="14.6640625" bestFit="1" customWidth="1"/>
    <col min="7" max="7" width="12.1328125" bestFit="1" customWidth="1"/>
    <col min="8" max="8" width="16.9296875" bestFit="1" customWidth="1"/>
    <col min="9" max="9" width="13.73046875" bestFit="1" customWidth="1"/>
    <col min="10" max="10" width="14.33203125" bestFit="1" customWidth="1"/>
    <col min="11" max="11" width="13.796875" bestFit="1" customWidth="1"/>
    <col min="12" max="12" width="12.59765625" customWidth="1"/>
    <col min="14" max="14" width="63.6640625" bestFit="1" customWidth="1"/>
  </cols>
  <sheetData>
    <row r="2" spans="2:14" x14ac:dyDescent="0.45">
      <c r="B2" s="3" t="s">
        <v>147</v>
      </c>
    </row>
    <row r="3" spans="2:14" x14ac:dyDescent="0.45">
      <c r="B3" t="s">
        <v>110</v>
      </c>
    </row>
    <row r="4" spans="2:14" x14ac:dyDescent="0.45">
      <c r="K4" s="4" t="s">
        <v>51</v>
      </c>
    </row>
    <row r="5" spans="2:14" x14ac:dyDescent="0.45"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36</v>
      </c>
      <c r="M5" s="4" t="s">
        <v>30</v>
      </c>
      <c r="N5" s="4" t="s">
        <v>50</v>
      </c>
    </row>
    <row r="6" spans="2:14" x14ac:dyDescent="0.45">
      <c r="B6" s="5" t="s">
        <v>14</v>
      </c>
      <c r="C6" s="5">
        <v>25</v>
      </c>
      <c r="D6" s="11">
        <f t="shared" ref="D6:D11" si="0">SUMPRODUCT(--((2^ROW($1:$30)-2)&lt;C6))+1</f>
        <v>5</v>
      </c>
      <c r="E6" s="5" t="s">
        <v>20</v>
      </c>
      <c r="F6" s="5">
        <v>32</v>
      </c>
      <c r="G6" s="5">
        <v>30</v>
      </c>
      <c r="H6" s="5">
        <v>0</v>
      </c>
      <c r="I6" s="5" t="s">
        <v>24</v>
      </c>
      <c r="J6" s="9">
        <v>255255255224</v>
      </c>
      <c r="K6" s="5" t="s">
        <v>37</v>
      </c>
      <c r="L6" s="5" t="s">
        <v>44</v>
      </c>
      <c r="M6" s="5" t="s">
        <v>38</v>
      </c>
      <c r="N6" s="5" t="s">
        <v>111</v>
      </c>
    </row>
    <row r="7" spans="2:14" x14ac:dyDescent="0.45">
      <c r="B7" s="5" t="s">
        <v>15</v>
      </c>
      <c r="C7" s="5">
        <v>30</v>
      </c>
      <c r="D7" s="11">
        <f t="shared" si="0"/>
        <v>5</v>
      </c>
      <c r="E7" s="5" t="s">
        <v>20</v>
      </c>
      <c r="F7" s="5">
        <v>32</v>
      </c>
      <c r="G7" s="5">
        <v>30</v>
      </c>
      <c r="H7" s="5">
        <v>32</v>
      </c>
      <c r="I7" s="5" t="s">
        <v>94</v>
      </c>
      <c r="J7" s="9">
        <v>255255255224</v>
      </c>
      <c r="K7" s="5" t="s">
        <v>35</v>
      </c>
      <c r="L7" s="5" t="s">
        <v>48</v>
      </c>
      <c r="M7" s="5" t="s">
        <v>42</v>
      </c>
      <c r="N7" s="5" t="s">
        <v>112</v>
      </c>
    </row>
    <row r="8" spans="2:14" x14ac:dyDescent="0.45">
      <c r="B8" s="5" t="s">
        <v>16</v>
      </c>
      <c r="C8" s="5">
        <v>6</v>
      </c>
      <c r="D8" s="11">
        <f t="shared" si="0"/>
        <v>3</v>
      </c>
      <c r="E8" s="5" t="s">
        <v>22</v>
      </c>
      <c r="F8" s="5">
        <v>8</v>
      </c>
      <c r="G8" s="5">
        <v>6</v>
      </c>
      <c r="H8" s="5">
        <v>64</v>
      </c>
      <c r="I8" s="5" t="s">
        <v>95</v>
      </c>
      <c r="J8" s="9">
        <v>255255255248</v>
      </c>
      <c r="K8" s="5" t="s">
        <v>31</v>
      </c>
      <c r="L8" s="5" t="s">
        <v>106</v>
      </c>
      <c r="M8" s="5" t="s">
        <v>102</v>
      </c>
      <c r="N8" s="5" t="s">
        <v>113</v>
      </c>
    </row>
    <row r="9" spans="2:14" x14ac:dyDescent="0.45">
      <c r="B9" s="5" t="s">
        <v>17</v>
      </c>
      <c r="C9" s="5">
        <v>2</v>
      </c>
      <c r="D9" s="11">
        <f t="shared" si="0"/>
        <v>2</v>
      </c>
      <c r="E9" s="5" t="s">
        <v>23</v>
      </c>
      <c r="F9" s="5">
        <v>4</v>
      </c>
      <c r="G9" s="5">
        <v>2</v>
      </c>
      <c r="H9" s="5">
        <v>72</v>
      </c>
      <c r="I9" s="5" t="s">
        <v>96</v>
      </c>
      <c r="J9" s="9">
        <v>255255255252</v>
      </c>
      <c r="K9" s="5" t="s">
        <v>99</v>
      </c>
      <c r="L9" s="5" t="s">
        <v>107</v>
      </c>
      <c r="M9" s="5" t="s">
        <v>103</v>
      </c>
      <c r="N9" s="5" t="s">
        <v>114</v>
      </c>
    </row>
    <row r="10" spans="2:14" x14ac:dyDescent="0.45">
      <c r="B10" s="5" t="s">
        <v>18</v>
      </c>
      <c r="C10" s="5">
        <v>2</v>
      </c>
      <c r="D10" s="11">
        <f t="shared" si="0"/>
        <v>2</v>
      </c>
      <c r="E10" s="5" t="s">
        <v>23</v>
      </c>
      <c r="F10" s="5">
        <v>4</v>
      </c>
      <c r="G10" s="5">
        <v>2</v>
      </c>
      <c r="H10" s="5">
        <v>76</v>
      </c>
      <c r="I10" s="5" t="s">
        <v>97</v>
      </c>
      <c r="J10" s="9">
        <v>255255255252</v>
      </c>
      <c r="K10" s="5" t="s">
        <v>100</v>
      </c>
      <c r="L10" s="5" t="s">
        <v>108</v>
      </c>
      <c r="M10" s="5" t="s">
        <v>104</v>
      </c>
      <c r="N10" s="5" t="s">
        <v>115</v>
      </c>
    </row>
    <row r="11" spans="2:14" x14ac:dyDescent="0.45">
      <c r="B11" s="5" t="s">
        <v>19</v>
      </c>
      <c r="C11" s="5">
        <v>2</v>
      </c>
      <c r="D11" s="11">
        <f t="shared" si="0"/>
        <v>2</v>
      </c>
      <c r="E11" s="5" t="s">
        <v>23</v>
      </c>
      <c r="F11" s="5">
        <v>4</v>
      </c>
      <c r="G11" s="5">
        <v>2</v>
      </c>
      <c r="H11" s="5">
        <v>80</v>
      </c>
      <c r="I11" s="5" t="s">
        <v>98</v>
      </c>
      <c r="J11" s="9">
        <v>255255255252</v>
      </c>
      <c r="K11" s="5" t="s">
        <v>101</v>
      </c>
      <c r="L11" s="5" t="s">
        <v>109</v>
      </c>
      <c r="M11" s="5" t="s">
        <v>105</v>
      </c>
      <c r="N11" s="5" t="s">
        <v>116</v>
      </c>
    </row>
    <row r="12" spans="2:14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 t="s">
        <v>117</v>
      </c>
    </row>
    <row r="13" spans="2:14" x14ac:dyDescent="0.45">
      <c r="N13" s="1"/>
    </row>
    <row r="14" spans="2:14" x14ac:dyDescent="0.45">
      <c r="N14" s="1"/>
    </row>
    <row r="15" spans="2:14" x14ac:dyDescent="0.45">
      <c r="N15" s="1"/>
    </row>
    <row r="16" spans="2:14" x14ac:dyDescent="0.45">
      <c r="N16" s="1"/>
    </row>
    <row r="17" spans="14:14" x14ac:dyDescent="0.45">
      <c r="N17" s="1"/>
    </row>
    <row r="18" spans="14:14" x14ac:dyDescent="0.45">
      <c r="N18" s="1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F97AEB6CF4F947AD23EB7F262BC637" ma:contentTypeVersion="5" ma:contentTypeDescription="Crear nuevo documento." ma:contentTypeScope="" ma:versionID="e3211d8a0369a5fca1bbc90329e5ac4e">
  <xsd:schema xmlns:xsd="http://www.w3.org/2001/XMLSchema" xmlns:xs="http://www.w3.org/2001/XMLSchema" xmlns:p="http://schemas.microsoft.com/office/2006/metadata/properties" xmlns:ns3="4657d25c-536a-42e5-89b5-41caaba82e22" targetNamespace="http://schemas.microsoft.com/office/2006/metadata/properties" ma:root="true" ma:fieldsID="1e81aa47899deab1b0e9a64767a47086" ns3:_="">
    <xsd:import namespace="4657d25c-536a-42e5-89b5-41caaba82e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7d25c-536a-42e5-89b5-41caaba82e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57d25c-536a-42e5-89b5-41caaba82e22" xsi:nil="true"/>
  </documentManagement>
</p:properties>
</file>

<file path=customXml/itemProps1.xml><?xml version="1.0" encoding="utf-8"?>
<ds:datastoreItem xmlns:ds="http://schemas.openxmlformats.org/officeDocument/2006/customXml" ds:itemID="{AE23D891-379F-4344-A06A-4654B0EC07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8871C4-8D55-4E5C-BE48-C2AF9F8021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7d25c-536a-42e5-89b5-41caaba82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30A4DE-2C4C-4BEA-8EF2-803387DF504F}">
  <ds:schemaRefs>
    <ds:schemaRef ds:uri="http://schemas.microsoft.com/office/2006/documentManagement/types"/>
    <ds:schemaRef ds:uri="http://schemas.openxmlformats.org/package/2006/metadata/core-properties"/>
    <ds:schemaRef ds:uri="4657d25c-536a-42e5-89b5-41caaba82e22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VLSM</vt:lpstr>
      <vt:lpstr>Direccionamiento</vt:lpstr>
      <vt:lpstr>Plan Cambio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Eda Bovet Muñoz</dc:creator>
  <cp:lastModifiedBy>Fiorella Eda Bovet Muñoz</cp:lastModifiedBy>
  <cp:lastPrinted>2026-10-28T00:21:16Z</cp:lastPrinted>
  <dcterms:created xsi:type="dcterms:W3CDTF">2026-10-27T14:56:42Z</dcterms:created>
  <dcterms:modified xsi:type="dcterms:W3CDTF">2026-10-28T03:48:29Z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0x010100F2F97AEB6CF4F947AD23EB7F262BC637</vt:lpwstr>
  </property>
</Properties>
</file>